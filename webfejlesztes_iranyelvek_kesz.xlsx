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di/dev/studies/semester2/webfejlesztes/"/>
    </mc:Choice>
  </mc:AlternateContent>
  <xr:revisionPtr revIDLastSave="0" documentId="8_{7E3C4D76-1C77-704B-B8FB-F9F9752780E5}" xr6:coauthVersionLast="47" xr6:coauthVersionMax="47" xr10:uidLastSave="{00000000-0000-0000-0000-000000000000}"/>
  <bookViews>
    <workbookView xWindow="0" yWindow="600" windowWidth="28800" windowHeight="15720" activeTab="1" xr2:uid="{1BD8638E-000E-4472-8AE1-C32ECD41C6A4}"/>
  </bookViews>
  <sheets>
    <sheet name="Fedőlap" sheetId="2" r:id="rId1"/>
    <sheet name="Irányelvek" sheetId="8" r:id="rId2"/>
    <sheet name="Ponthatárok" sheetId="9" state="hidden" r:id="rId3"/>
  </sheets>
  <definedNames>
    <definedName name="_xlnm._FilterDatabase" localSheetId="1" hidden="1">Irányelvek!$A$1:$L$47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2" i="8"/>
  <c r="J3" i="9"/>
  <c r="H4" i="9"/>
  <c r="D11" i="2"/>
  <c r="C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D18" i="2" l="1"/>
  <c r="D19" i="2" s="1"/>
  <c r="L11" i="8"/>
  <c r="L38" i="8"/>
  <c r="L37" i="8"/>
  <c r="L6" i="8"/>
  <c r="L45" i="8"/>
  <c r="L29" i="8"/>
  <c r="L43" i="8"/>
  <c r="L44" i="8"/>
  <c r="L41" i="8"/>
  <c r="L32" i="8"/>
  <c r="L8" i="8"/>
  <c r="L21" i="8"/>
  <c r="L26" i="8"/>
  <c r="L18" i="8"/>
  <c r="L10" i="8"/>
  <c r="L34" i="8"/>
  <c r="L20" i="8"/>
  <c r="L23" i="8"/>
  <c r="L15" i="8"/>
  <c r="L2" i="8"/>
  <c r="L40" i="8"/>
  <c r="L19" i="8"/>
  <c r="L3" i="8"/>
  <c r="L46" i="8"/>
  <c r="L31" i="8"/>
  <c r="L25" i="8"/>
  <c r="L17" i="8"/>
  <c r="L9" i="8"/>
  <c r="L47" i="8"/>
  <c r="L39" i="8"/>
  <c r="L28" i="8"/>
  <c r="L13" i="8"/>
  <c r="L5" i="8"/>
  <c r="L7" i="8"/>
  <c r="L24" i="8"/>
  <c r="L16" i="8"/>
  <c r="L36" i="8"/>
  <c r="L30" i="8"/>
  <c r="D15" i="2"/>
  <c r="L33" i="8"/>
  <c r="L27" i="8"/>
  <c r="L12" i="8"/>
  <c r="L4" i="8"/>
  <c r="L42" i="8"/>
  <c r="L35" i="8"/>
  <c r="L22" i="8"/>
  <c r="L14" i="8"/>
  <c r="C4" i="9"/>
  <c r="C6" i="9"/>
  <c r="C5" i="9"/>
  <c r="C7" i="9"/>
  <c r="D23" i="2" l="1"/>
  <c r="D24" i="2" s="1"/>
  <c r="F15" i="2"/>
</calcChain>
</file>

<file path=xl/sharedStrings.xml><?xml version="1.0" encoding="utf-8"?>
<sst xmlns="http://schemas.openxmlformats.org/spreadsheetml/2006/main" count="152" uniqueCount="109">
  <si>
    <t>Neved:</t>
  </si>
  <si>
    <t>E-mail címed:</t>
  </si>
  <si>
    <t>Az irányelvek megtekintése és az adatlap kitöltése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</si>
  <si>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</si>
  <si>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</si>
  <si>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</si>
  <si>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</si>
  <si>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</si>
  <si>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</si>
  <si>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</si>
  <si>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</si>
  <si>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</si>
  <si>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</si>
  <si>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</si>
  <si>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</si>
  <si>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</si>
  <si>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</si>
  <si>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</si>
  <si>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</si>
  <si>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</si>
  <si>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</si>
  <si>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</si>
  <si>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</si>
  <si>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</si>
  <si>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</si>
  <si>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</si>
  <si>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</si>
  <si>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</si>
  <si>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</si>
  <si>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</si>
  <si>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</si>
  <si>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</si>
  <si>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</si>
  <si>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</si>
  <si>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</si>
  <si>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</si>
  <si>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</si>
  <si>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</si>
  <si>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</si>
  <si>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</si>
  <si>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</si>
  <si>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</si>
  <si>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</si>
  <si>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</si>
  <si>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</si>
  <si>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</si>
  <si>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</si>
  <si>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</si>
  <si>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</si>
  <si>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</si>
  <si>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</si>
  <si>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</si>
  <si>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</si>
  <si>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</si>
  <si>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</si>
  <si>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</si>
  <si>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</si>
  <si>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</si>
  <si>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</si>
  <si>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</si>
  <si>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</si>
  <si>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</si>
  <si>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</si>
  <si>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</si>
  <si>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</si>
  <si>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</si>
  <si>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</si>
  <si>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</si>
  <si>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</si>
  <si>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</si>
  <si>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</si>
  <si>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</si>
  <si>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</si>
  <si>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</si>
  <si>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</si>
  <si>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</si>
  <si>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</si>
  <si>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</si>
  <si>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</si>
  <si>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</si>
  <si>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</si>
  <si>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</si>
  <si>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</si>
  <si>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</si>
  <si>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</si>
  <si>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</si>
  <si>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</si>
  <si>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</si>
  <si>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</si>
  <si>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</si>
  <si>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 jelenjenek meg, kivéve amikor fókuszba kerülnek.</t>
    </r>
  </si>
  <si>
    <t>Kinézetükben különböznek a még nem látogatott és látogatott linkek. A már látogatott link kontrasztaránya kisebb a nem látogatotthoz képest. A menü esetén ez nem feltétel.</t>
  </si>
  <si>
    <t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</si>
  <si>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>Az oldalak összesen legalább öt képet tartalmaznak. Ezek közül legalább két kép előképként (thumbnail) funkcionál, vagyis a fizikailag kisebb méretű kép a hozzá tartozó nagyobb képváltozatra linkel.</t>
  </si>
  <si>
    <t>Verzió: v2025262_v2</t>
  </si>
  <si>
    <r>
      <t xml:space="preserve">A tartalom és a megjelenés megfelelően el van különítve egymástól külső stíluslap(ok) használatával. 
</t>
    </r>
    <r>
      <rPr>
        <i/>
        <sz val="11"/>
        <color theme="1"/>
        <rFont val="Calibri"/>
        <family val="2"/>
        <charset val="238"/>
        <scheme val="minor"/>
      </rPr>
      <t>Inline, illetve internal stílusmegadás használata nem engedélyezett.</t>
    </r>
  </si>
  <si>
    <t>resources.html legalján</t>
  </si>
  <si>
    <t>projects.html-ben van 5 kép, és belőle 4 thumbnailként funkcionál</t>
  </si>
  <si>
    <t>a cheat-sheets.html oldal első táblázata</t>
  </si>
  <si>
    <t>van sötét/világos mód kiválasztó, search modal keresés (ami gomra kattintáskor és gyorsgombbal is működik), back to top gomb megjelenése ha legörgetünk túlságosan, és egy pár kissebb extra dolog.</t>
  </si>
  <si>
    <t>elég sok külső hivatkozás van, és minden fel van töltve tartalommal</t>
  </si>
  <si>
    <t>3 fajlta elrendezés van, amit a css/responsivity.css -ben van leírva. A fejléc 1 oszlop, ha telefon méretű, 2 tablet méret esetén, és 3 oszlop nagy kijelző esetén. Minden más relatívan van méretezve, és minden látható és helyesen val elhelyezve mindhárom méretben.</t>
  </si>
  <si>
    <t>css/ mappában</t>
  </si>
  <si>
    <t>css/basic-settings.css -ben van benne</t>
  </si>
  <si>
    <t>css/print.css -ben van leírva.</t>
  </si>
  <si>
    <t>"Document checking completed. No errors or warnings to show." mind a 4 html oldalon</t>
  </si>
  <si>
    <t>mindegyik oldal használja a css/style.css -t, ami meg importálja a többi .css filet, és mindegyik a validátor által el lett fogadva.</t>
  </si>
  <si>
    <t>a fejlécben lehet kiválasztani a light mode és dark mode mellett.</t>
  </si>
  <si>
    <t>A index.html legutolsó videója alatt van a lenyitható "Videó részletes szöveges leírása"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</si>
</sst>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25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 vertical="top"/>
    </xf>
    <xf numFmtId="9" fontId="6" fillId="0" borderId="0" xfId="3" applyFont="1"/>
    <xf numFmtId="165" fontId="4" fillId="0" borderId="0" xfId="0" applyNumberFormat="1" applyFont="1"/>
    <xf numFmtId="0" fontId="7" fillId="0" borderId="0" xfId="0" applyFont="1" applyAlignment="1">
      <alignment vertical="top"/>
    </xf>
    <xf numFmtId="9" fontId="6" fillId="0" borderId="1" xfId="3" applyFont="1" applyBorder="1"/>
    <xf numFmtId="166" fontId="6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8" fillId="6" borderId="7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6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8" fillId="6" borderId="7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9" fillId="6" borderId="11" xfId="0" applyFont="1" applyFill="1" applyBorder="1" applyAlignment="1">
      <alignment wrapText="1"/>
    </xf>
    <xf numFmtId="0" fontId="8" fillId="6" borderId="1" xfId="0" applyFont="1" applyFill="1" applyBorder="1"/>
    <xf numFmtId="0" fontId="0" fillId="7" borderId="1" xfId="0" applyFill="1" applyBorder="1"/>
    <xf numFmtId="0" fontId="0" fillId="11" borderId="0" xfId="0" applyFill="1"/>
    <xf numFmtId="0" fontId="22" fillId="11" borderId="0" xfId="0" applyFont="1" applyFill="1"/>
    <xf numFmtId="0" fontId="0" fillId="11" borderId="0" xfId="0" applyFill="1" applyAlignment="1">
      <alignment vertical="top"/>
    </xf>
    <xf numFmtId="0" fontId="24" fillId="0" borderId="0" xfId="0" applyFont="1"/>
    <xf numFmtId="0" fontId="10" fillId="12" borderId="2" xfId="0" applyFont="1" applyFill="1" applyBorder="1" applyAlignment="1">
      <alignment wrapText="1"/>
    </xf>
    <xf numFmtId="0" fontId="10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19" xfId="0" applyFont="1" applyFill="1" applyBorder="1"/>
    <xf numFmtId="0" fontId="10" fillId="12" borderId="20" xfId="0" applyFont="1" applyFill="1" applyBorder="1" applyAlignment="1">
      <alignment wrapText="1"/>
    </xf>
    <xf numFmtId="0" fontId="14" fillId="0" borderId="19" xfId="0" applyFont="1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" fillId="0" borderId="21" xfId="0" applyFont="1" applyBorder="1"/>
    <xf numFmtId="0" fontId="4" fillId="0" borderId="22" xfId="0" applyFont="1" applyBorder="1"/>
    <xf numFmtId="0" fontId="0" fillId="0" borderId="22" xfId="0" applyBorder="1"/>
    <xf numFmtId="0" fontId="10" fillId="13" borderId="6" xfId="0" applyFont="1" applyFill="1" applyBorder="1" applyAlignment="1">
      <alignment wrapText="1"/>
    </xf>
    <xf numFmtId="0" fontId="10" fillId="13" borderId="2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4" borderId="6" xfId="0" applyFont="1" applyFill="1" applyBorder="1" applyAlignment="1">
      <alignment wrapText="1"/>
    </xf>
    <xf numFmtId="0" fontId="10" fillId="14" borderId="2" xfId="0" applyFont="1" applyFill="1" applyBorder="1" applyAlignment="1">
      <alignment wrapText="1"/>
    </xf>
    <xf numFmtId="0" fontId="10" fillId="14" borderId="20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2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0" fontId="10" fillId="10" borderId="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0" fontId="10" fillId="10" borderId="20" xfId="0" applyFont="1" applyFill="1" applyBorder="1" applyAlignment="1">
      <alignment wrapText="1"/>
    </xf>
    <xf numFmtId="0" fontId="12" fillId="0" borderId="8" xfId="0" applyFont="1" applyBorder="1"/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7" xfId="0" applyBorder="1" applyAlignment="1">
      <alignment wrapText="1"/>
    </xf>
    <xf numFmtId="0" fontId="0" fillId="3" borderId="5" xfId="0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6" borderId="25" xfId="0" applyFont="1" applyFill="1" applyBorder="1" applyAlignment="1">
      <alignment horizontal="left" wrapText="1"/>
    </xf>
    <xf numFmtId="0" fontId="6" fillId="0" borderId="26" xfId="0" applyFont="1" applyBorder="1" applyAlignment="1" applyProtection="1">
      <alignment wrapText="1"/>
      <protection locked="0"/>
    </xf>
    <xf numFmtId="0" fontId="14" fillId="3" borderId="26" xfId="0" applyFont="1" applyFill="1" applyBorder="1" applyAlignment="1" applyProtection="1">
      <alignment horizontal="left" vertical="top"/>
      <protection locked="0"/>
    </xf>
    <xf numFmtId="0" fontId="6" fillId="0" borderId="18" xfId="0" applyFont="1" applyBorder="1" applyAlignment="1" applyProtection="1">
      <alignment wrapText="1"/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7" xfId="0" applyFont="1" applyBorder="1" applyAlignment="1" applyProtection="1">
      <alignment wrapText="1"/>
      <protection locked="0"/>
    </xf>
    <xf numFmtId="0" fontId="6" fillId="0" borderId="14" xfId="0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2" xfId="0" applyNumberFormat="1" applyFont="1" applyBorder="1" applyAlignment="1" applyProtection="1">
      <alignment wrapText="1"/>
      <protection locked="0"/>
    </xf>
    <xf numFmtId="49" fontId="13" fillId="0" borderId="20" xfId="0" applyNumberFormat="1" applyFont="1" applyBorder="1" applyAlignment="1" applyProtection="1">
      <alignment wrapText="1"/>
      <protection locked="0"/>
    </xf>
    <xf numFmtId="49" fontId="13" fillId="0" borderId="1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>
      <alignment vertical="top"/>
    </xf>
    <xf numFmtId="0" fontId="20" fillId="3" borderId="0" xfId="2" applyFont="1" applyFill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6" fillId="9" borderId="13" xfId="0" applyFont="1" applyFill="1" applyBorder="1" applyAlignment="1">
      <alignment vertical="top" wrapText="1"/>
    </xf>
    <xf numFmtId="0" fontId="6" fillId="9" borderId="14" xfId="0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9" borderId="15" xfId="0" applyFont="1" applyFill="1" applyBorder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6" fillId="9" borderId="16" xfId="0" applyFont="1" applyFill="1" applyBorder="1" applyAlignment="1">
      <alignment vertical="top" wrapText="1"/>
    </xf>
    <xf numFmtId="0" fontId="6" fillId="9" borderId="17" xfId="0" applyFont="1" applyFill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  <xf numFmtId="0" fontId="23" fillId="11" borderId="9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16" fillId="0" borderId="8" xfId="0" applyFont="1" applyBorder="1" applyProtection="1">
      <protection locked="0"/>
    </xf>
    <xf numFmtId="0" fontId="17" fillId="0" borderId="8" xfId="0" applyFont="1" applyBorder="1" applyProtection="1">
      <protection locked="0"/>
    </xf>
    <xf numFmtId="0" fontId="18" fillId="9" borderId="1" xfId="0" applyFont="1" applyFill="1" applyBorder="1" applyAlignment="1">
      <alignment vertical="top" wrapText="1"/>
    </xf>
    <xf numFmtId="0" fontId="19" fillId="0" borderId="1" xfId="0" applyFont="1" applyBorder="1"/>
    <xf numFmtId="0" fontId="21" fillId="11" borderId="10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D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topLeftCell="A15" zoomScale="137" zoomScaleNormal="100" workbookViewId="0">
      <selection activeCell="D22" sqref="D22"/>
    </sheetView>
  </sheetViews>
  <sheetFormatPr baseColWidth="10" defaultColWidth="8.83203125" defaultRowHeight="15" x14ac:dyDescent="0.2"/>
  <cols>
    <col min="1" max="1" width="4.33203125" customWidth="1"/>
    <col min="2" max="2" width="26.83203125" customWidth="1"/>
    <col min="3" max="3" width="39.83203125" customWidth="1"/>
    <col min="4" max="4" width="14.83203125" customWidth="1"/>
    <col min="5" max="5" width="4.1640625" customWidth="1"/>
    <col min="6" max="6" width="40.6640625" customWidth="1"/>
    <col min="8" max="8" width="6.1640625" customWidth="1"/>
    <col min="9" max="9" width="4.5" customWidth="1"/>
    <col min="10" max="10" width="19" bestFit="1" customWidth="1"/>
    <col min="11" max="11" width="9.1640625" customWidth="1"/>
    <col min="12" max="12" width="15.33203125" customWidth="1"/>
    <col min="13" max="17" width="9.1640625" customWidth="1"/>
  </cols>
  <sheetData>
    <row r="1" spans="1:10" ht="32.25" customHeight="1" x14ac:dyDescent="0.2">
      <c r="A1" s="41"/>
      <c r="B1" s="108" t="s">
        <v>89</v>
      </c>
      <c r="C1" s="108"/>
      <c r="D1" s="108"/>
      <c r="E1" s="108"/>
      <c r="F1" s="108"/>
      <c r="G1" s="108"/>
      <c r="H1" s="108"/>
      <c r="I1" s="41"/>
      <c r="J1" s="43" t="s">
        <v>94</v>
      </c>
    </row>
    <row r="2" spans="1:10" ht="24" x14ac:dyDescent="0.3">
      <c r="A2" s="40"/>
      <c r="B2" s="67" t="s">
        <v>0</v>
      </c>
      <c r="C2" s="110"/>
      <c r="D2" s="111"/>
      <c r="E2" s="111"/>
      <c r="F2" s="111"/>
      <c r="G2" s="111"/>
      <c r="H2" s="111"/>
      <c r="I2" s="40"/>
    </row>
    <row r="3" spans="1:10" ht="24" x14ac:dyDescent="0.3">
      <c r="A3" s="40"/>
      <c r="B3" s="67" t="s">
        <v>44</v>
      </c>
      <c r="C3" s="110"/>
      <c r="D3" s="111"/>
      <c r="E3" s="111"/>
      <c r="F3" s="111"/>
      <c r="G3" s="111"/>
      <c r="H3" s="111"/>
      <c r="I3" s="40"/>
    </row>
    <row r="4" spans="1:10" ht="24" x14ac:dyDescent="0.3">
      <c r="A4" s="40"/>
      <c r="B4" s="67" t="s">
        <v>1</v>
      </c>
      <c r="C4" s="110"/>
      <c r="D4" s="111"/>
      <c r="E4" s="111"/>
      <c r="F4" s="111"/>
      <c r="G4" s="111"/>
      <c r="H4" s="111"/>
      <c r="I4" s="40"/>
    </row>
    <row r="5" spans="1:10" ht="37.5" customHeight="1" x14ac:dyDescent="0.2">
      <c r="A5" s="40"/>
      <c r="B5" s="114" t="s">
        <v>73</v>
      </c>
      <c r="C5" s="114"/>
      <c r="D5" s="114"/>
      <c r="E5" s="114"/>
      <c r="F5" s="114"/>
      <c r="G5" s="114"/>
      <c r="H5" s="114"/>
      <c r="I5" s="40"/>
    </row>
    <row r="6" spans="1:10" ht="49.5" customHeight="1" x14ac:dyDescent="0.2">
      <c r="A6" s="40"/>
      <c r="B6" s="91" t="s">
        <v>2</v>
      </c>
      <c r="C6" s="92"/>
      <c r="D6" s="92"/>
      <c r="E6" s="92"/>
      <c r="F6" s="92"/>
      <c r="G6" s="92"/>
      <c r="H6" s="92"/>
      <c r="I6" s="40"/>
    </row>
    <row r="7" spans="1:10" ht="61.5" customHeight="1" x14ac:dyDescent="0.2">
      <c r="A7" s="40"/>
      <c r="B7" s="93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94"/>
      <c r="D7" s="94"/>
      <c r="E7" s="94"/>
      <c r="F7" s="94"/>
      <c r="G7" s="94"/>
      <c r="H7" s="94"/>
      <c r="I7" s="40"/>
    </row>
    <row r="8" spans="1:10" x14ac:dyDescent="0.2">
      <c r="A8" s="40"/>
      <c r="B8" s="1"/>
      <c r="C8" s="1"/>
      <c r="D8" s="1"/>
      <c r="E8" s="1"/>
      <c r="F8" s="1"/>
      <c r="G8" s="1"/>
      <c r="H8" s="1"/>
      <c r="I8" s="40"/>
    </row>
    <row r="9" spans="1:10" x14ac:dyDescent="0.2">
      <c r="A9" s="40"/>
      <c r="B9" s="15" t="s">
        <v>42</v>
      </c>
      <c r="C9" s="1"/>
      <c r="D9" s="1"/>
      <c r="E9" s="1"/>
      <c r="F9" s="1"/>
      <c r="G9" s="1"/>
      <c r="H9" s="1"/>
      <c r="I9" s="40"/>
    </row>
    <row r="10" spans="1:10" ht="15" customHeight="1" x14ac:dyDescent="0.2">
      <c r="A10" s="40"/>
      <c r="B10" s="90" t="s">
        <v>33</v>
      </c>
      <c r="C10" s="90"/>
      <c r="D10" s="25">
        <f>COUNTA(Irányelvek!B:B)-1</f>
        <v>46</v>
      </c>
      <c r="E10" s="1"/>
      <c r="F10" s="112" t="s">
        <v>79</v>
      </c>
      <c r="G10" s="112"/>
      <c r="H10" s="112"/>
      <c r="I10" s="40"/>
    </row>
    <row r="11" spans="1:10" x14ac:dyDescent="0.2">
      <c r="A11" s="40"/>
      <c r="B11" s="90" t="s">
        <v>26</v>
      </c>
      <c r="C11" s="90"/>
      <c r="D11" s="25">
        <f>SUM(Irányelvek!I:I)</f>
        <v>100</v>
      </c>
      <c r="E11" s="1"/>
      <c r="F11" s="113"/>
      <c r="G11" s="113"/>
      <c r="H11" s="113"/>
      <c r="I11" s="40"/>
    </row>
    <row r="12" spans="1:10" ht="35.5" customHeight="1" x14ac:dyDescent="0.2">
      <c r="A12" s="40"/>
      <c r="B12" s="90" t="s">
        <v>58</v>
      </c>
      <c r="C12" s="90"/>
      <c r="D12" s="25">
        <v>50</v>
      </c>
      <c r="E12" s="1"/>
      <c r="F12" s="113"/>
      <c r="G12" s="113"/>
      <c r="H12" s="113"/>
      <c r="I12" s="40"/>
    </row>
    <row r="13" spans="1:10" x14ac:dyDescent="0.2">
      <c r="A13" s="40"/>
      <c r="B13" s="15" t="s">
        <v>40</v>
      </c>
      <c r="C13" s="15"/>
      <c r="D13" s="15"/>
      <c r="E13" s="1"/>
      <c r="F13" s="1"/>
      <c r="G13" s="1"/>
      <c r="H13" s="1"/>
      <c r="I13" s="40"/>
    </row>
    <row r="14" spans="1:10" x14ac:dyDescent="0.2">
      <c r="A14" s="40"/>
      <c r="B14" s="90" t="s">
        <v>47</v>
      </c>
      <c r="C14" s="90"/>
      <c r="D14" s="25" t="b">
        <f>IF(COUNTIFS(Irányelvek!D2:D47,"=1",Irányelvek!H2:H47,"=igaz")=19,TRUE,FALSE)</f>
        <v>0</v>
      </c>
      <c r="E14" s="1"/>
      <c r="F14" s="1"/>
      <c r="G14" s="1"/>
      <c r="H14" s="1"/>
      <c r="I14" s="40"/>
    </row>
    <row r="15" spans="1:10" ht="31.5" customHeight="1" x14ac:dyDescent="0.2">
      <c r="A15" s="40"/>
      <c r="B15" s="90" t="s">
        <v>37</v>
      </c>
      <c r="C15" s="90"/>
      <c r="D15" s="26">
        <f>SUM(Irányelvek!J2:J47)</f>
        <v>100</v>
      </c>
      <c r="E15" s="1"/>
      <c r="F15" s="97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jeles  érdemjegyet kapnál rá.</v>
      </c>
      <c r="G15" s="97"/>
      <c r="H15" s="97"/>
      <c r="I15" s="40"/>
    </row>
    <row r="16" spans="1:10" ht="15.75" customHeight="1" x14ac:dyDescent="0.2">
      <c r="A16" s="40"/>
      <c r="B16" s="15" t="s">
        <v>41</v>
      </c>
      <c r="C16" s="15"/>
      <c r="D16" s="15"/>
      <c r="E16" s="1"/>
      <c r="F16" s="1"/>
      <c r="G16" s="1"/>
      <c r="H16" s="1"/>
      <c r="I16" s="40"/>
    </row>
    <row r="17" spans="1:9" ht="15.75" customHeight="1" x14ac:dyDescent="0.2">
      <c r="A17" s="40"/>
      <c r="B17" s="90" t="s">
        <v>48</v>
      </c>
      <c r="C17" s="90"/>
      <c r="D17" s="25" t="str">
        <f>IF(D26=TRUE,IF(COUNTIFS(Irányelvek!F2:F47,"=1",Irányelvek!H2:H47,"=igaz")=19,TRUE,FALSE),"Még nincs adat.")</f>
        <v>Még nincs adat.</v>
      </c>
      <c r="E17" s="1"/>
      <c r="F17" s="99" t="s">
        <v>34</v>
      </c>
      <c r="G17" s="100"/>
      <c r="H17" s="101"/>
      <c r="I17" s="40"/>
    </row>
    <row r="18" spans="1:9" ht="31.5" customHeight="1" x14ac:dyDescent="0.2">
      <c r="A18" s="40"/>
      <c r="B18" s="90" t="s">
        <v>38</v>
      </c>
      <c r="C18" s="90"/>
      <c r="D18" s="26" t="str">
        <f>IF(D26=TRUE,SUM(Irányelvek!K2:K47),"Még nincs adat.")</f>
        <v>Még nincs adat.</v>
      </c>
      <c r="E18" s="1"/>
      <c r="F18" s="102"/>
      <c r="G18" s="103"/>
      <c r="H18" s="104"/>
      <c r="I18" s="40"/>
    </row>
    <row r="19" spans="1:9" ht="31.5" customHeight="1" x14ac:dyDescent="0.2">
      <c r="A19" s="40"/>
      <c r="B19" s="90" t="s">
        <v>46</v>
      </c>
      <c r="C19" s="90"/>
      <c r="D19" s="26" t="str">
        <f>IF(D26=TRUE,D18+D27,"Még nincs adat.")</f>
        <v>Még nincs adat.</v>
      </c>
      <c r="E19" s="1"/>
      <c r="F19" s="105"/>
      <c r="G19" s="106"/>
      <c r="H19" s="107"/>
      <c r="I19" s="40"/>
    </row>
    <row r="20" spans="1:9" ht="21" customHeight="1" x14ac:dyDescent="0.2">
      <c r="A20" s="40"/>
      <c r="B20" s="15" t="s">
        <v>39</v>
      </c>
      <c r="C20" s="1"/>
      <c r="D20" s="1"/>
      <c r="E20" s="1"/>
      <c r="F20" s="1"/>
      <c r="G20" s="1"/>
      <c r="H20" s="1"/>
      <c r="I20" s="40"/>
    </row>
    <row r="21" spans="1:9" x14ac:dyDescent="0.2">
      <c r="A21" s="40"/>
      <c r="B21" s="90" t="s">
        <v>36</v>
      </c>
      <c r="C21" s="90"/>
      <c r="D21" s="27">
        <v>20</v>
      </c>
      <c r="E21" s="1"/>
      <c r="F21" s="97" t="s">
        <v>34</v>
      </c>
      <c r="G21" s="98"/>
      <c r="H21" s="98"/>
      <c r="I21" s="40"/>
    </row>
    <row r="22" spans="1:9" x14ac:dyDescent="0.2">
      <c r="A22" s="40"/>
      <c r="B22" s="90" t="s">
        <v>22</v>
      </c>
      <c r="C22" s="90"/>
      <c r="D22" s="27">
        <v>10</v>
      </c>
      <c r="E22" s="1"/>
      <c r="F22" s="98"/>
      <c r="G22" s="98"/>
      <c r="H22" s="98"/>
      <c r="I22" s="40"/>
    </row>
    <row r="23" spans="1:9" ht="36.75" customHeight="1" x14ac:dyDescent="0.2">
      <c r="A23" s="40"/>
      <c r="B23" s="95" t="s">
        <v>35</v>
      </c>
      <c r="C23" s="96"/>
      <c r="D23" s="27" t="str">
        <f>IF(D26=TRUE,SUM(Irányelvek!L2:L47),"Még nincs adat.")</f>
        <v>Még nincs adat.</v>
      </c>
      <c r="E23" s="1"/>
      <c r="F23" s="98"/>
      <c r="G23" s="98"/>
      <c r="H23" s="98"/>
      <c r="I23" s="40"/>
    </row>
    <row r="24" spans="1:9" ht="35.25" customHeight="1" x14ac:dyDescent="0.2">
      <c r="A24" s="40"/>
      <c r="B24" s="90" t="s">
        <v>14</v>
      </c>
      <c r="C24" s="90"/>
      <c r="D24" s="26" t="str">
        <f>IF(D26,IF(ROUNDUP(20 - 0.71*D23,0)&gt;0,ROUNDUP(20 - 0.71*D23,0),0),"Még nincs adat.")</f>
        <v>Még nincs adat.</v>
      </c>
      <c r="E24" s="1"/>
      <c r="F24" s="98"/>
      <c r="G24" s="98"/>
      <c r="H24" s="98"/>
      <c r="I24" s="40"/>
    </row>
    <row r="25" spans="1:9" x14ac:dyDescent="0.2">
      <c r="A25" s="40"/>
      <c r="B25" s="4"/>
      <c r="C25" s="4"/>
      <c r="D25" s="4"/>
      <c r="E25" s="4"/>
      <c r="F25" s="4"/>
      <c r="G25" s="4"/>
      <c r="H25" s="4"/>
      <c r="I25" s="40"/>
    </row>
    <row r="26" spans="1:9" ht="20.25" customHeight="1" x14ac:dyDescent="0.2">
      <c r="A26" s="40"/>
      <c r="B26" s="89" t="s">
        <v>43</v>
      </c>
      <c r="C26" s="89"/>
      <c r="D26" s="28" t="b">
        <v>0</v>
      </c>
      <c r="E26" s="29"/>
      <c r="F26" s="29"/>
      <c r="G26" s="29"/>
      <c r="H26" s="29"/>
      <c r="I26" s="40"/>
    </row>
    <row r="27" spans="1:9" ht="48" customHeight="1" x14ac:dyDescent="0.2">
      <c r="A27" s="40"/>
      <c r="B27" s="115" t="s">
        <v>45</v>
      </c>
      <c r="C27" s="116"/>
      <c r="D27" s="28"/>
      <c r="E27" s="29"/>
      <c r="F27" s="29"/>
      <c r="G27" s="29"/>
      <c r="H27" s="29"/>
      <c r="I27" s="40"/>
    </row>
    <row r="28" spans="1:9" x14ac:dyDescent="0.2">
      <c r="A28" s="40"/>
      <c r="B28" s="109" t="s">
        <v>21</v>
      </c>
      <c r="C28" s="109"/>
      <c r="D28" s="29"/>
      <c r="E28" s="29"/>
      <c r="F28" s="29"/>
      <c r="G28" s="29"/>
      <c r="H28" s="29"/>
      <c r="I28" s="40"/>
    </row>
    <row r="29" spans="1:9" ht="105" customHeight="1" x14ac:dyDescent="0.2">
      <c r="A29" s="40"/>
      <c r="B29" s="88"/>
      <c r="C29" s="88"/>
      <c r="D29" s="88"/>
      <c r="E29" s="88"/>
      <c r="F29" s="88"/>
      <c r="G29" s="88"/>
      <c r="H29" s="88"/>
      <c r="I29" s="40"/>
    </row>
    <row r="30" spans="1:9" x14ac:dyDescent="0.2">
      <c r="A30" s="40"/>
      <c r="B30" s="42"/>
      <c r="C30" s="42"/>
      <c r="D30" s="42"/>
      <c r="E30" s="42"/>
      <c r="F30" s="42"/>
      <c r="G30" s="42"/>
      <c r="H30" s="42"/>
      <c r="I30" s="40"/>
    </row>
  </sheetData>
  <sheetProtection algorithmName="SHA-512" hashValue="eoR52jwtKtntR3sbThy6QaMZo+rRfb/KflaRxHFQ1g99ZHm2o6z9v9QLMvn775ccQztlU1FRDX2A3h4+z/5IwQ==" saltValue="KdH2MHbCJvSZCc3v2VBwLQ==" spinCount="100000" sheet="1" objects="1" scenarios="1"/>
  <mergeCells count="27"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51"/>
  <sheetViews>
    <sheetView tabSelected="1" zoomScale="90" zoomScaleNormal="100"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3.1640625" style="39" customWidth="1"/>
    <col min="2" max="2" width="15.83203125" style="23" customWidth="1"/>
    <col min="3" max="3" width="54.1640625" style="24" customWidth="1"/>
    <col min="4" max="4" width="11.5" style="30" customWidth="1"/>
    <col min="5" max="5" width="24.6640625" style="21" customWidth="1"/>
    <col min="6" max="6" width="10.5" style="31" customWidth="1"/>
    <col min="7" max="7" width="22.5" style="21" customWidth="1"/>
    <col min="8" max="8" width="9.83203125" style="36" customWidth="1"/>
    <col min="9" max="10" width="9.1640625" customWidth="1"/>
    <col min="11" max="12" width="10.83203125" customWidth="1"/>
    <col min="13" max="13" width="11.6640625" customWidth="1"/>
    <col min="14" max="14" width="9.6640625" customWidth="1"/>
  </cols>
  <sheetData>
    <row r="1" spans="1:14" s="5" customFormat="1" ht="84" customHeight="1" thickBot="1" x14ac:dyDescent="0.25">
      <c r="A1" s="38"/>
      <c r="B1" s="37" t="s">
        <v>4</v>
      </c>
      <c r="C1" s="16" t="s">
        <v>3</v>
      </c>
      <c r="D1" s="76" t="s">
        <v>64</v>
      </c>
      <c r="E1" s="16" t="s">
        <v>24</v>
      </c>
      <c r="F1" s="76" t="s">
        <v>65</v>
      </c>
      <c r="G1" s="16" t="s">
        <v>16</v>
      </c>
      <c r="H1" s="32" t="s">
        <v>59</v>
      </c>
      <c r="I1" s="16" t="s">
        <v>25</v>
      </c>
      <c r="J1" s="16" t="s">
        <v>13</v>
      </c>
      <c r="K1" s="16" t="s">
        <v>12</v>
      </c>
      <c r="L1" s="17" t="s">
        <v>15</v>
      </c>
      <c r="N1" s="6"/>
    </row>
    <row r="2" spans="1:14" s="2" customFormat="1" ht="79.5" customHeight="1" thickBot="1" x14ac:dyDescent="0.25">
      <c r="A2" s="22">
        <v>1</v>
      </c>
      <c r="B2" s="44" t="s">
        <v>10</v>
      </c>
      <c r="C2" s="68" t="s">
        <v>74</v>
      </c>
      <c r="D2" s="78">
        <v>1</v>
      </c>
      <c r="E2" s="79"/>
      <c r="F2" s="78"/>
      <c r="G2" s="83"/>
      <c r="H2" s="33" t="b">
        <v>1</v>
      </c>
      <c r="I2" s="18">
        <v>3</v>
      </c>
      <c r="J2" s="18">
        <f>IF(D2=1,I2,IF(H2=TRUE,-5,""))</f>
        <v>3</v>
      </c>
      <c r="K2" s="19">
        <f>IF(F2=1,I2,IF(H2=TRUE,-5,""))</f>
        <v>-5</v>
      </c>
      <c r="L2" s="18">
        <f>IF(J2=K2,0,1)</f>
        <v>1</v>
      </c>
    </row>
    <row r="3" spans="1:14" s="2" customFormat="1" ht="50.25" customHeight="1" thickBot="1" x14ac:dyDescent="0.25">
      <c r="A3" s="22">
        <f>A2+1</f>
        <v>2</v>
      </c>
      <c r="B3" s="44" t="s">
        <v>10</v>
      </c>
      <c r="C3" s="69" t="s">
        <v>55</v>
      </c>
      <c r="D3" s="78">
        <v>1</v>
      </c>
      <c r="E3" s="80" t="s">
        <v>96</v>
      </c>
      <c r="F3" s="78"/>
      <c r="G3" s="84"/>
      <c r="H3" s="34" t="b">
        <v>1</v>
      </c>
      <c r="I3" s="3">
        <v>2</v>
      </c>
      <c r="J3" s="18">
        <f t="shared" ref="J3:J47" si="0">IF(D3=1,I3,IF(H3=TRUE,-5,""))</f>
        <v>2</v>
      </c>
      <c r="K3" s="19">
        <f t="shared" ref="K3:K47" si="1">IF(F3=1,I3,IF(H3=TRUE,-5,""))</f>
        <v>-5</v>
      </c>
      <c r="L3" s="3">
        <f t="shared" ref="L3:L47" si="2">IF(J3=K3,0,1)</f>
        <v>1</v>
      </c>
    </row>
    <row r="4" spans="1:14" s="2" customFormat="1" ht="63.75" customHeight="1" thickBot="1" x14ac:dyDescent="0.25">
      <c r="A4" s="22">
        <f t="shared" ref="A4:A47" si="3">A3+1</f>
        <v>3</v>
      </c>
      <c r="B4" s="45" t="s">
        <v>10</v>
      </c>
      <c r="C4" s="70" t="s">
        <v>93</v>
      </c>
      <c r="D4" s="78">
        <v>1</v>
      </c>
      <c r="E4" s="80" t="s">
        <v>97</v>
      </c>
      <c r="F4" s="78"/>
      <c r="G4" s="84"/>
      <c r="H4" s="34" t="b">
        <v>1</v>
      </c>
      <c r="I4" s="3">
        <v>3</v>
      </c>
      <c r="J4" s="18">
        <f t="shared" si="0"/>
        <v>3</v>
      </c>
      <c r="K4" s="19">
        <f t="shared" si="1"/>
        <v>-5</v>
      </c>
      <c r="L4" s="3">
        <f t="shared" si="2"/>
        <v>1</v>
      </c>
      <c r="N4" s="8"/>
    </row>
    <row r="5" spans="1:14" s="2" customFormat="1" ht="93.75" customHeight="1" thickBot="1" x14ac:dyDescent="0.25">
      <c r="A5" s="22">
        <f t="shared" si="3"/>
        <v>4</v>
      </c>
      <c r="B5" s="44" t="s">
        <v>10</v>
      </c>
      <c r="C5" s="70" t="s">
        <v>80</v>
      </c>
      <c r="D5" s="78">
        <v>1</v>
      </c>
      <c r="E5" s="80" t="s">
        <v>98</v>
      </c>
      <c r="F5" s="78"/>
      <c r="G5" s="84"/>
      <c r="H5" s="34" t="b">
        <v>1</v>
      </c>
      <c r="I5" s="3">
        <v>3</v>
      </c>
      <c r="J5" s="18">
        <f t="shared" si="0"/>
        <v>3</v>
      </c>
      <c r="K5" s="19">
        <f t="shared" si="1"/>
        <v>-5</v>
      </c>
      <c r="L5" s="3">
        <f t="shared" si="2"/>
        <v>1</v>
      </c>
      <c r="N5" s="9"/>
    </row>
    <row r="6" spans="1:14" s="2" customFormat="1" ht="65" thickBot="1" x14ac:dyDescent="0.25">
      <c r="A6" s="22">
        <f t="shared" si="3"/>
        <v>5</v>
      </c>
      <c r="B6" s="44" t="s">
        <v>10</v>
      </c>
      <c r="C6" s="70" t="s">
        <v>72</v>
      </c>
      <c r="D6" s="78">
        <v>1</v>
      </c>
      <c r="E6" s="80" t="s">
        <v>96</v>
      </c>
      <c r="F6" s="78"/>
      <c r="G6" s="84"/>
      <c r="H6" s="34" t="b">
        <v>1</v>
      </c>
      <c r="I6" s="3">
        <v>3</v>
      </c>
      <c r="J6" s="18">
        <f t="shared" si="0"/>
        <v>3</v>
      </c>
      <c r="K6" s="19">
        <f t="shared" si="1"/>
        <v>-5</v>
      </c>
      <c r="L6" s="3">
        <f t="shared" si="2"/>
        <v>1</v>
      </c>
      <c r="N6" s="9"/>
    </row>
    <row r="7" spans="1:14" s="2" customFormat="1" ht="75.75" customHeight="1" thickBot="1" x14ac:dyDescent="0.25">
      <c r="A7" s="22">
        <f t="shared" si="3"/>
        <v>6</v>
      </c>
      <c r="B7" s="44" t="s">
        <v>10</v>
      </c>
      <c r="C7" s="70" t="s">
        <v>68</v>
      </c>
      <c r="D7" s="78">
        <v>1</v>
      </c>
      <c r="E7" s="80" t="s">
        <v>99</v>
      </c>
      <c r="F7" s="78"/>
      <c r="G7" s="84"/>
      <c r="H7" s="34" t="b">
        <v>1</v>
      </c>
      <c r="I7" s="3">
        <v>3</v>
      </c>
      <c r="J7" s="18">
        <f t="shared" si="0"/>
        <v>3</v>
      </c>
      <c r="K7" s="19">
        <f t="shared" si="1"/>
        <v>-5</v>
      </c>
      <c r="L7" s="3">
        <f t="shared" si="2"/>
        <v>1</v>
      </c>
    </row>
    <row r="8" spans="1:14" s="2" customFormat="1" ht="103.5" customHeight="1" thickBot="1" x14ac:dyDescent="0.25">
      <c r="A8" s="22">
        <f t="shared" si="3"/>
        <v>7</v>
      </c>
      <c r="B8" s="44" t="s">
        <v>10</v>
      </c>
      <c r="C8" s="70" t="s">
        <v>85</v>
      </c>
      <c r="D8" s="78">
        <v>1</v>
      </c>
      <c r="E8" s="80" t="s">
        <v>100</v>
      </c>
      <c r="F8" s="78"/>
      <c r="G8" s="84"/>
      <c r="H8" s="34" t="b">
        <v>1</v>
      </c>
      <c r="I8" s="3">
        <v>2</v>
      </c>
      <c r="J8" s="18">
        <f t="shared" si="0"/>
        <v>2</v>
      </c>
      <c r="K8" s="19">
        <f t="shared" si="1"/>
        <v>-5</v>
      </c>
      <c r="L8" s="3">
        <f t="shared" si="2"/>
        <v>1</v>
      </c>
    </row>
    <row r="9" spans="1:14" s="53" customFormat="1" ht="97" thickBot="1" x14ac:dyDescent="0.25">
      <c r="A9" s="47">
        <f t="shared" si="3"/>
        <v>8</v>
      </c>
      <c r="B9" s="48" t="s">
        <v>10</v>
      </c>
      <c r="C9" s="71" t="s">
        <v>56</v>
      </c>
      <c r="D9" s="78">
        <v>1</v>
      </c>
      <c r="E9" s="81"/>
      <c r="F9" s="78"/>
      <c r="G9" s="85"/>
      <c r="H9" s="49" t="b">
        <v>1</v>
      </c>
      <c r="I9" s="50">
        <v>4</v>
      </c>
      <c r="J9" s="51">
        <f t="shared" si="0"/>
        <v>4</v>
      </c>
      <c r="K9" s="52">
        <f t="shared" si="1"/>
        <v>-5</v>
      </c>
      <c r="L9" s="50">
        <f t="shared" si="2"/>
        <v>1</v>
      </c>
    </row>
    <row r="10" spans="1:14" ht="139.5" customHeight="1" thickTop="1" thickBot="1" x14ac:dyDescent="0.25">
      <c r="A10" s="46">
        <f t="shared" si="3"/>
        <v>9</v>
      </c>
      <c r="B10" s="55" t="s">
        <v>6</v>
      </c>
      <c r="C10" s="72" t="s">
        <v>66</v>
      </c>
      <c r="D10" s="78">
        <v>1</v>
      </c>
      <c r="E10" s="79" t="s">
        <v>101</v>
      </c>
      <c r="F10" s="78"/>
      <c r="G10" s="83"/>
      <c r="H10" s="33" t="b">
        <v>1</v>
      </c>
      <c r="I10" s="18">
        <v>5</v>
      </c>
      <c r="J10" s="18">
        <f t="shared" si="0"/>
        <v>5</v>
      </c>
      <c r="K10" s="19">
        <f t="shared" si="1"/>
        <v>-5</v>
      </c>
      <c r="L10" s="18">
        <f t="shared" si="2"/>
        <v>1</v>
      </c>
    </row>
    <row r="11" spans="1:14" ht="63" customHeight="1" thickBot="1" x14ac:dyDescent="0.25">
      <c r="A11" s="22">
        <f t="shared" si="3"/>
        <v>10</v>
      </c>
      <c r="B11" s="56" t="s">
        <v>6</v>
      </c>
      <c r="C11" s="70" t="s">
        <v>95</v>
      </c>
      <c r="D11" s="78">
        <v>1</v>
      </c>
      <c r="E11" s="80" t="s">
        <v>102</v>
      </c>
      <c r="F11" s="78"/>
      <c r="G11" s="84"/>
      <c r="H11" s="34" t="b">
        <v>1</v>
      </c>
      <c r="I11" s="3">
        <v>3</v>
      </c>
      <c r="J11" s="18">
        <f t="shared" si="0"/>
        <v>3</v>
      </c>
      <c r="K11" s="19">
        <f t="shared" si="1"/>
        <v>-5</v>
      </c>
      <c r="L11" s="3">
        <f t="shared" si="2"/>
        <v>1</v>
      </c>
    </row>
    <row r="12" spans="1:14" ht="81" thickBot="1" x14ac:dyDescent="0.25">
      <c r="A12" s="22">
        <f t="shared" si="3"/>
        <v>11</v>
      </c>
      <c r="B12" s="56" t="s">
        <v>6</v>
      </c>
      <c r="C12" s="70" t="s">
        <v>92</v>
      </c>
      <c r="D12" s="78">
        <v>1</v>
      </c>
      <c r="E12" s="80"/>
      <c r="F12" s="78"/>
      <c r="G12" s="84"/>
      <c r="H12" s="34"/>
      <c r="I12" s="3">
        <v>1</v>
      </c>
      <c r="J12" s="18">
        <f t="shared" si="0"/>
        <v>1</v>
      </c>
      <c r="K12" s="19" t="str">
        <f t="shared" si="1"/>
        <v/>
      </c>
      <c r="L12" s="3">
        <f t="shared" si="2"/>
        <v>1</v>
      </c>
    </row>
    <row r="13" spans="1:14" ht="22.5" customHeight="1" thickBot="1" x14ac:dyDescent="0.25">
      <c r="A13" s="22">
        <f t="shared" si="3"/>
        <v>12</v>
      </c>
      <c r="B13" s="56" t="s">
        <v>6</v>
      </c>
      <c r="C13" s="70" t="s">
        <v>17</v>
      </c>
      <c r="D13" s="78">
        <v>1</v>
      </c>
      <c r="E13" s="80"/>
      <c r="F13" s="78"/>
      <c r="G13" s="84"/>
      <c r="H13" s="34"/>
      <c r="I13" s="3">
        <v>1</v>
      </c>
      <c r="J13" s="18">
        <f t="shared" si="0"/>
        <v>1</v>
      </c>
      <c r="K13" s="19" t="str">
        <f t="shared" si="1"/>
        <v/>
      </c>
      <c r="L13" s="3">
        <f t="shared" si="2"/>
        <v>1</v>
      </c>
    </row>
    <row r="14" spans="1:14" ht="68.25" customHeight="1" thickBot="1" x14ac:dyDescent="0.25">
      <c r="A14" s="22">
        <f t="shared" si="3"/>
        <v>13</v>
      </c>
      <c r="B14" s="56" t="s">
        <v>6</v>
      </c>
      <c r="C14" s="70" t="s">
        <v>49</v>
      </c>
      <c r="D14" s="78">
        <v>1</v>
      </c>
      <c r="E14" s="80"/>
      <c r="F14" s="78"/>
      <c r="G14" s="84"/>
      <c r="H14" s="34"/>
      <c r="I14" s="3">
        <v>1</v>
      </c>
      <c r="J14" s="18">
        <f t="shared" si="0"/>
        <v>1</v>
      </c>
      <c r="K14" s="19" t="str">
        <f t="shared" si="1"/>
        <v/>
      </c>
      <c r="L14" s="3">
        <f t="shared" si="2"/>
        <v>1</v>
      </c>
    </row>
    <row r="15" spans="1:14" ht="33" thickBot="1" x14ac:dyDescent="0.25">
      <c r="A15" s="22">
        <f t="shared" si="3"/>
        <v>14</v>
      </c>
      <c r="B15" s="56" t="s">
        <v>6</v>
      </c>
      <c r="C15" s="70" t="s">
        <v>57</v>
      </c>
      <c r="D15" s="78">
        <v>1</v>
      </c>
      <c r="E15" s="80"/>
      <c r="F15" s="78"/>
      <c r="G15" s="84"/>
      <c r="H15" s="34"/>
      <c r="I15" s="3">
        <v>1</v>
      </c>
      <c r="J15" s="18">
        <f t="shared" si="0"/>
        <v>1</v>
      </c>
      <c r="K15" s="19" t="str">
        <f t="shared" si="1"/>
        <v/>
      </c>
      <c r="L15" s="3">
        <f t="shared" si="2"/>
        <v>1</v>
      </c>
    </row>
    <row r="16" spans="1:14" ht="33" thickBot="1" x14ac:dyDescent="0.25">
      <c r="A16" s="22">
        <f t="shared" si="3"/>
        <v>15</v>
      </c>
      <c r="B16" s="56" t="s">
        <v>6</v>
      </c>
      <c r="C16" s="70" t="s">
        <v>50</v>
      </c>
      <c r="D16" s="78">
        <v>1</v>
      </c>
      <c r="E16" s="80"/>
      <c r="F16" s="78"/>
      <c r="G16" s="84"/>
      <c r="H16" s="34"/>
      <c r="I16" s="3">
        <v>1</v>
      </c>
      <c r="J16" s="18">
        <f t="shared" si="0"/>
        <v>1</v>
      </c>
      <c r="K16" s="19" t="str">
        <f t="shared" si="1"/>
        <v/>
      </c>
      <c r="L16" s="3">
        <f t="shared" si="2"/>
        <v>1</v>
      </c>
    </row>
    <row r="17" spans="1:12" ht="62.25" customHeight="1" thickBot="1" x14ac:dyDescent="0.25">
      <c r="A17" s="22">
        <f t="shared" si="3"/>
        <v>16</v>
      </c>
      <c r="B17" s="56" t="s">
        <v>6</v>
      </c>
      <c r="C17" s="70" t="s">
        <v>91</v>
      </c>
      <c r="D17" s="78">
        <v>1</v>
      </c>
      <c r="E17" s="80" t="s">
        <v>103</v>
      </c>
      <c r="F17" s="78"/>
      <c r="G17" s="84"/>
      <c r="H17" s="34"/>
      <c r="I17" s="3">
        <v>1</v>
      </c>
      <c r="J17" s="18">
        <f t="shared" si="0"/>
        <v>1</v>
      </c>
      <c r="K17" s="19" t="str">
        <f t="shared" si="1"/>
        <v/>
      </c>
      <c r="L17" s="3">
        <f t="shared" si="2"/>
        <v>1</v>
      </c>
    </row>
    <row r="18" spans="1:12" ht="27.75" customHeight="1" thickBot="1" x14ac:dyDescent="0.25">
      <c r="A18" s="22">
        <f t="shared" si="3"/>
        <v>17</v>
      </c>
      <c r="B18" s="56" t="s">
        <v>6</v>
      </c>
      <c r="C18" s="70" t="s">
        <v>11</v>
      </c>
      <c r="D18" s="78">
        <v>1</v>
      </c>
      <c r="E18" s="80"/>
      <c r="F18" s="78"/>
      <c r="G18" s="84"/>
      <c r="H18" s="34"/>
      <c r="I18" s="3">
        <v>1</v>
      </c>
      <c r="J18" s="18">
        <f t="shared" si="0"/>
        <v>1</v>
      </c>
      <c r="K18" s="19" t="str">
        <f t="shared" si="1"/>
        <v/>
      </c>
      <c r="L18" s="3">
        <f t="shared" si="2"/>
        <v>1</v>
      </c>
    </row>
    <row r="19" spans="1:12" ht="81" thickBot="1" x14ac:dyDescent="0.25">
      <c r="A19" s="22">
        <f t="shared" si="3"/>
        <v>18</v>
      </c>
      <c r="B19" s="56" t="s">
        <v>6</v>
      </c>
      <c r="C19" s="70" t="s">
        <v>81</v>
      </c>
      <c r="D19" s="78">
        <v>1</v>
      </c>
      <c r="E19" s="80"/>
      <c r="F19" s="78"/>
      <c r="G19" s="84"/>
      <c r="H19" s="34"/>
      <c r="I19" s="3">
        <v>1</v>
      </c>
      <c r="J19" s="18">
        <f t="shared" si="0"/>
        <v>1</v>
      </c>
      <c r="K19" s="19" t="str">
        <f t="shared" si="1"/>
        <v/>
      </c>
      <c r="L19" s="3">
        <f t="shared" si="2"/>
        <v>1</v>
      </c>
    </row>
    <row r="20" spans="1:12" ht="141" customHeight="1" thickBot="1" x14ac:dyDescent="0.25">
      <c r="A20" s="22">
        <f t="shared" si="3"/>
        <v>19</v>
      </c>
      <c r="B20" s="56" t="s">
        <v>6</v>
      </c>
      <c r="C20" s="70" t="s">
        <v>82</v>
      </c>
      <c r="D20" s="78">
        <v>1</v>
      </c>
      <c r="E20" s="80" t="s">
        <v>104</v>
      </c>
      <c r="F20" s="78"/>
      <c r="G20" s="84"/>
      <c r="H20" s="34"/>
      <c r="I20" s="3">
        <v>3</v>
      </c>
      <c r="J20" s="18">
        <f t="shared" si="0"/>
        <v>3</v>
      </c>
      <c r="K20" s="19" t="str">
        <f t="shared" si="1"/>
        <v/>
      </c>
      <c r="L20" s="3">
        <f t="shared" si="2"/>
        <v>1</v>
      </c>
    </row>
    <row r="21" spans="1:12" ht="49" thickBot="1" x14ac:dyDescent="0.25">
      <c r="A21" s="22">
        <f t="shared" si="3"/>
        <v>20</v>
      </c>
      <c r="B21" s="56" t="s">
        <v>6</v>
      </c>
      <c r="C21" s="70" t="s">
        <v>71</v>
      </c>
      <c r="D21" s="78">
        <v>1</v>
      </c>
      <c r="E21" s="80"/>
      <c r="F21" s="78"/>
      <c r="G21" s="84"/>
      <c r="H21" s="34"/>
      <c r="I21" s="3">
        <v>3</v>
      </c>
      <c r="J21" s="18">
        <f t="shared" si="0"/>
        <v>3</v>
      </c>
      <c r="K21" s="19" t="str">
        <f t="shared" si="1"/>
        <v/>
      </c>
      <c r="L21" s="3">
        <f t="shared" si="2"/>
        <v>1</v>
      </c>
    </row>
    <row r="22" spans="1:12" ht="49" thickBot="1" x14ac:dyDescent="0.25">
      <c r="A22" s="22">
        <f t="shared" si="3"/>
        <v>21</v>
      </c>
      <c r="B22" s="56" t="s">
        <v>6</v>
      </c>
      <c r="C22" s="70" t="s">
        <v>83</v>
      </c>
      <c r="D22" s="78">
        <v>1</v>
      </c>
      <c r="E22" s="80"/>
      <c r="F22" s="78"/>
      <c r="G22" s="84"/>
      <c r="H22" s="34"/>
      <c r="I22" s="3">
        <v>1</v>
      </c>
      <c r="J22" s="18">
        <f t="shared" si="0"/>
        <v>1</v>
      </c>
      <c r="K22" s="19" t="str">
        <f t="shared" si="1"/>
        <v/>
      </c>
      <c r="L22" s="3">
        <f t="shared" si="2"/>
        <v>1</v>
      </c>
    </row>
    <row r="23" spans="1:12" ht="33" thickBot="1" x14ac:dyDescent="0.25">
      <c r="A23" s="22">
        <f t="shared" si="3"/>
        <v>22</v>
      </c>
      <c r="B23" s="56" t="s">
        <v>6</v>
      </c>
      <c r="C23" s="70" t="s">
        <v>18</v>
      </c>
      <c r="D23" s="78">
        <v>1</v>
      </c>
      <c r="E23" s="80"/>
      <c r="F23" s="78"/>
      <c r="G23" s="84"/>
      <c r="H23" s="34"/>
      <c r="I23" s="3">
        <v>1</v>
      </c>
      <c r="J23" s="18">
        <f t="shared" si="0"/>
        <v>1</v>
      </c>
      <c r="K23" s="19" t="str">
        <f t="shared" si="1"/>
        <v/>
      </c>
      <c r="L23" s="3">
        <f t="shared" si="2"/>
        <v>1</v>
      </c>
    </row>
    <row r="24" spans="1:12" ht="33" thickBot="1" x14ac:dyDescent="0.25">
      <c r="A24" s="22">
        <f t="shared" si="3"/>
        <v>23</v>
      </c>
      <c r="B24" s="56" t="s">
        <v>6</v>
      </c>
      <c r="C24" s="70" t="s">
        <v>54</v>
      </c>
      <c r="D24" s="78">
        <v>1</v>
      </c>
      <c r="E24" s="80"/>
      <c r="F24" s="78"/>
      <c r="G24" s="84"/>
      <c r="H24" s="34"/>
      <c r="I24" s="3">
        <v>1</v>
      </c>
      <c r="J24" s="18">
        <f t="shared" si="0"/>
        <v>1</v>
      </c>
      <c r="K24" s="19" t="str">
        <f t="shared" si="1"/>
        <v/>
      </c>
      <c r="L24" s="3">
        <f t="shared" si="2"/>
        <v>1</v>
      </c>
    </row>
    <row r="25" spans="1:12" ht="30" customHeight="1" thickBot="1" x14ac:dyDescent="0.25">
      <c r="A25" s="22">
        <f t="shared" si="3"/>
        <v>24</v>
      </c>
      <c r="B25" s="56" t="s">
        <v>6</v>
      </c>
      <c r="C25" s="70" t="s">
        <v>84</v>
      </c>
      <c r="D25" s="78">
        <v>1</v>
      </c>
      <c r="E25" s="80"/>
      <c r="F25" s="78"/>
      <c r="G25" s="84"/>
      <c r="H25" s="34"/>
      <c r="I25" s="3">
        <v>1</v>
      </c>
      <c r="J25" s="18">
        <f>IF(D25=1,I25,IF(H25=TRUE,-5,""))</f>
        <v>1</v>
      </c>
      <c r="K25" s="19" t="str">
        <f t="shared" si="1"/>
        <v/>
      </c>
      <c r="L25" s="3">
        <f t="shared" si="2"/>
        <v>1</v>
      </c>
    </row>
    <row r="26" spans="1:12" s="54" customFormat="1" ht="17" thickBot="1" x14ac:dyDescent="0.25">
      <c r="A26" s="47">
        <f t="shared" si="3"/>
        <v>25</v>
      </c>
      <c r="B26" s="57" t="s">
        <v>6</v>
      </c>
      <c r="C26" s="71" t="s">
        <v>23</v>
      </c>
      <c r="D26" s="78">
        <v>1</v>
      </c>
      <c r="E26" s="81"/>
      <c r="F26" s="78"/>
      <c r="G26" s="85"/>
      <c r="H26" s="49"/>
      <c r="I26" s="50">
        <v>1</v>
      </c>
      <c r="J26" s="51">
        <f>IF(D26=1,I26,IF(H26=TRUE,-5,""))</f>
        <v>1</v>
      </c>
      <c r="K26" s="52" t="str">
        <f t="shared" si="1"/>
        <v/>
      </c>
      <c r="L26" s="50">
        <f t="shared" si="2"/>
        <v>1</v>
      </c>
    </row>
    <row r="27" spans="1:12" ht="34" thickTop="1" thickBot="1" x14ac:dyDescent="0.25">
      <c r="A27" s="46">
        <f t="shared" si="3"/>
        <v>26</v>
      </c>
      <c r="B27" s="58" t="s">
        <v>7</v>
      </c>
      <c r="C27" s="72" t="s">
        <v>51</v>
      </c>
      <c r="D27" s="78">
        <v>1</v>
      </c>
      <c r="E27" s="79"/>
      <c r="F27" s="78"/>
      <c r="G27" s="83"/>
      <c r="H27" s="33"/>
      <c r="I27" s="18">
        <v>2</v>
      </c>
      <c r="J27" s="18">
        <f t="shared" si="0"/>
        <v>2</v>
      </c>
      <c r="K27" s="19" t="str">
        <f t="shared" si="1"/>
        <v/>
      </c>
      <c r="L27" s="18">
        <f t="shared" si="2"/>
        <v>1</v>
      </c>
    </row>
    <row r="28" spans="1:12" ht="94.5" customHeight="1" thickBot="1" x14ac:dyDescent="0.25">
      <c r="A28" s="22">
        <f t="shared" si="3"/>
        <v>27</v>
      </c>
      <c r="B28" s="59" t="s">
        <v>7</v>
      </c>
      <c r="C28" s="73" t="s">
        <v>86</v>
      </c>
      <c r="D28" s="78">
        <v>1</v>
      </c>
      <c r="E28" s="80"/>
      <c r="F28" s="78"/>
      <c r="G28" s="84"/>
      <c r="H28" s="34"/>
      <c r="I28" s="3">
        <v>2</v>
      </c>
      <c r="J28" s="18">
        <f t="shared" si="0"/>
        <v>2</v>
      </c>
      <c r="K28" s="19" t="str">
        <f t="shared" si="1"/>
        <v/>
      </c>
      <c r="L28" s="3">
        <f t="shared" si="2"/>
        <v>1</v>
      </c>
    </row>
    <row r="29" spans="1:12" ht="33" thickBot="1" x14ac:dyDescent="0.25">
      <c r="A29" s="22">
        <f t="shared" si="3"/>
        <v>28</v>
      </c>
      <c r="B29" s="59" t="s">
        <v>7</v>
      </c>
      <c r="C29" s="70" t="s">
        <v>8</v>
      </c>
      <c r="D29" s="78">
        <v>1</v>
      </c>
      <c r="E29" s="80"/>
      <c r="F29" s="78"/>
      <c r="G29" s="84"/>
      <c r="H29" s="34"/>
      <c r="I29" s="3">
        <v>1</v>
      </c>
      <c r="J29" s="18">
        <f t="shared" si="0"/>
        <v>1</v>
      </c>
      <c r="K29" s="19" t="str">
        <f t="shared" si="1"/>
        <v/>
      </c>
      <c r="L29" s="3">
        <f t="shared" si="2"/>
        <v>1</v>
      </c>
    </row>
    <row r="30" spans="1:12" ht="17" thickBot="1" x14ac:dyDescent="0.25">
      <c r="A30" s="22">
        <f t="shared" si="3"/>
        <v>29</v>
      </c>
      <c r="B30" s="59" t="s">
        <v>7</v>
      </c>
      <c r="C30" s="70" t="s">
        <v>9</v>
      </c>
      <c r="D30" s="78">
        <v>1</v>
      </c>
      <c r="E30" s="80"/>
      <c r="F30" s="78"/>
      <c r="G30" s="84"/>
      <c r="H30" s="34"/>
      <c r="I30" s="3">
        <v>1</v>
      </c>
      <c r="J30" s="18">
        <f t="shared" si="0"/>
        <v>1</v>
      </c>
      <c r="K30" s="19" t="str">
        <f t="shared" si="1"/>
        <v/>
      </c>
      <c r="L30" s="3">
        <f t="shared" si="2"/>
        <v>1</v>
      </c>
    </row>
    <row r="31" spans="1:12" ht="49" thickBot="1" x14ac:dyDescent="0.25">
      <c r="A31" s="22">
        <f t="shared" si="3"/>
        <v>30</v>
      </c>
      <c r="B31" s="59" t="s">
        <v>7</v>
      </c>
      <c r="C31" s="70" t="s">
        <v>70</v>
      </c>
      <c r="D31" s="78">
        <v>1</v>
      </c>
      <c r="E31" s="80"/>
      <c r="F31" s="78"/>
      <c r="G31" s="84"/>
      <c r="H31" s="34"/>
      <c r="I31" s="3">
        <v>3</v>
      </c>
      <c r="J31" s="18">
        <f t="shared" si="0"/>
        <v>3</v>
      </c>
      <c r="K31" s="19" t="str">
        <f t="shared" si="1"/>
        <v/>
      </c>
      <c r="L31" s="3">
        <f t="shared" si="2"/>
        <v>1</v>
      </c>
    </row>
    <row r="32" spans="1:12" ht="33" thickBot="1" x14ac:dyDescent="0.25">
      <c r="A32" s="22">
        <f t="shared" si="3"/>
        <v>31</v>
      </c>
      <c r="B32" s="59" t="s">
        <v>7</v>
      </c>
      <c r="C32" s="72" t="s">
        <v>52</v>
      </c>
      <c r="D32" s="78">
        <v>1</v>
      </c>
      <c r="E32" s="79"/>
      <c r="F32" s="78"/>
      <c r="G32" s="83"/>
      <c r="H32" s="33"/>
      <c r="I32" s="18">
        <v>1</v>
      </c>
      <c r="J32" s="18">
        <f t="shared" si="0"/>
        <v>1</v>
      </c>
      <c r="K32" s="19" t="str">
        <f t="shared" si="1"/>
        <v/>
      </c>
      <c r="L32" s="18">
        <f t="shared" si="2"/>
        <v>1</v>
      </c>
    </row>
    <row r="33" spans="1:12" ht="48" customHeight="1" thickBot="1" x14ac:dyDescent="0.25">
      <c r="A33" s="22">
        <f t="shared" si="3"/>
        <v>32</v>
      </c>
      <c r="B33" s="59" t="s">
        <v>7</v>
      </c>
      <c r="C33" s="73" t="s">
        <v>67</v>
      </c>
      <c r="D33" s="78">
        <v>1</v>
      </c>
      <c r="E33" s="80"/>
      <c r="F33" s="78"/>
      <c r="G33" s="84"/>
      <c r="H33" s="34"/>
      <c r="I33" s="3">
        <v>1</v>
      </c>
      <c r="J33" s="18">
        <f t="shared" si="0"/>
        <v>1</v>
      </c>
      <c r="K33" s="19" t="str">
        <f t="shared" si="1"/>
        <v/>
      </c>
      <c r="L33" s="3">
        <f t="shared" si="2"/>
        <v>1</v>
      </c>
    </row>
    <row r="34" spans="1:12" s="54" customFormat="1" ht="81" thickBot="1" x14ac:dyDescent="0.25">
      <c r="A34" s="22">
        <f t="shared" si="3"/>
        <v>33</v>
      </c>
      <c r="B34" s="60" t="s">
        <v>7</v>
      </c>
      <c r="C34" s="71" t="s">
        <v>61</v>
      </c>
      <c r="D34" s="78">
        <v>1</v>
      </c>
      <c r="E34" s="81"/>
      <c r="F34" s="78"/>
      <c r="G34" s="85"/>
      <c r="H34" s="49"/>
      <c r="I34" s="50">
        <v>2</v>
      </c>
      <c r="J34" s="51">
        <f t="shared" si="0"/>
        <v>2</v>
      </c>
      <c r="K34" s="52" t="str">
        <f t="shared" si="1"/>
        <v/>
      </c>
      <c r="L34" s="50">
        <f t="shared" si="2"/>
        <v>1</v>
      </c>
    </row>
    <row r="35" spans="1:12" ht="33.75" customHeight="1" thickTop="1" thickBot="1" x14ac:dyDescent="0.25">
      <c r="A35" s="22">
        <f t="shared" si="3"/>
        <v>34</v>
      </c>
      <c r="B35" s="63" t="s">
        <v>5</v>
      </c>
      <c r="C35" s="72" t="s">
        <v>63</v>
      </c>
      <c r="D35" s="78">
        <v>1</v>
      </c>
      <c r="E35" s="79"/>
      <c r="F35" s="78"/>
      <c r="G35" s="83"/>
      <c r="H35" s="33" t="b">
        <v>1</v>
      </c>
      <c r="I35" s="18">
        <v>4</v>
      </c>
      <c r="J35" s="18">
        <f t="shared" si="0"/>
        <v>4</v>
      </c>
      <c r="K35" s="19">
        <f t="shared" si="1"/>
        <v>-5</v>
      </c>
      <c r="L35" s="18">
        <f t="shared" si="2"/>
        <v>1</v>
      </c>
    </row>
    <row r="36" spans="1:12" ht="33" thickBot="1" x14ac:dyDescent="0.25">
      <c r="A36" s="22">
        <f t="shared" si="3"/>
        <v>35</v>
      </c>
      <c r="B36" s="64" t="s">
        <v>5</v>
      </c>
      <c r="C36" s="74" t="s">
        <v>60</v>
      </c>
      <c r="D36" s="78">
        <v>1</v>
      </c>
      <c r="E36" s="80"/>
      <c r="F36" s="78"/>
      <c r="G36" s="84"/>
      <c r="H36" s="34"/>
      <c r="I36" s="3">
        <v>1</v>
      </c>
      <c r="J36" s="18">
        <f t="shared" si="0"/>
        <v>1</v>
      </c>
      <c r="K36" s="19" t="str">
        <f t="shared" si="1"/>
        <v/>
      </c>
      <c r="L36" s="3">
        <f t="shared" si="2"/>
        <v>1</v>
      </c>
    </row>
    <row r="37" spans="1:12" ht="33" thickBot="1" x14ac:dyDescent="0.25">
      <c r="A37" s="22">
        <f t="shared" si="3"/>
        <v>36</v>
      </c>
      <c r="B37" s="64" t="s">
        <v>5</v>
      </c>
      <c r="C37" s="70" t="s">
        <v>62</v>
      </c>
      <c r="D37" s="78">
        <v>1</v>
      </c>
      <c r="E37" s="80"/>
      <c r="F37" s="78"/>
      <c r="G37" s="84"/>
      <c r="H37" s="34" t="b">
        <v>1</v>
      </c>
      <c r="I37" s="3">
        <v>2</v>
      </c>
      <c r="J37" s="18">
        <f t="shared" si="0"/>
        <v>2</v>
      </c>
      <c r="K37" s="19">
        <f t="shared" si="1"/>
        <v>-5</v>
      </c>
      <c r="L37" s="3">
        <f t="shared" si="2"/>
        <v>1</v>
      </c>
    </row>
    <row r="38" spans="1:12" ht="49" thickBot="1" x14ac:dyDescent="0.25">
      <c r="A38" s="22">
        <f t="shared" si="3"/>
        <v>37</v>
      </c>
      <c r="B38" s="64" t="s">
        <v>5</v>
      </c>
      <c r="C38" s="74" t="s">
        <v>87</v>
      </c>
      <c r="D38" s="78">
        <v>1</v>
      </c>
      <c r="E38" s="80" t="s">
        <v>107</v>
      </c>
      <c r="F38" s="78"/>
      <c r="G38" s="84"/>
      <c r="H38" s="34"/>
      <c r="I38" s="3">
        <v>5</v>
      </c>
      <c r="J38" s="18">
        <f t="shared" si="0"/>
        <v>5</v>
      </c>
      <c r="K38" s="19" t="str">
        <f t="shared" si="1"/>
        <v/>
      </c>
      <c r="L38" s="3">
        <f t="shared" si="2"/>
        <v>1</v>
      </c>
    </row>
    <row r="39" spans="1:12" ht="152.25" customHeight="1" thickBot="1" x14ac:dyDescent="0.25">
      <c r="A39" s="22">
        <f t="shared" si="3"/>
        <v>38</v>
      </c>
      <c r="B39" s="64" t="s">
        <v>5</v>
      </c>
      <c r="C39" s="70" t="s">
        <v>90</v>
      </c>
      <c r="D39" s="78">
        <v>1</v>
      </c>
      <c r="E39" s="80"/>
      <c r="F39" s="78"/>
      <c r="G39" s="84"/>
      <c r="H39" s="34" t="b">
        <v>1</v>
      </c>
      <c r="I39" s="3">
        <v>3</v>
      </c>
      <c r="J39" s="18">
        <f t="shared" si="0"/>
        <v>3</v>
      </c>
      <c r="K39" s="19">
        <f t="shared" si="1"/>
        <v>-5</v>
      </c>
      <c r="L39" s="3">
        <f t="shared" si="2"/>
        <v>1</v>
      </c>
    </row>
    <row r="40" spans="1:12" ht="159" customHeight="1" thickBot="1" x14ac:dyDescent="0.25">
      <c r="A40" s="22">
        <f t="shared" si="3"/>
        <v>39</v>
      </c>
      <c r="B40" s="65" t="s">
        <v>5</v>
      </c>
      <c r="C40" s="75" t="s">
        <v>75</v>
      </c>
      <c r="D40" s="78">
        <v>1</v>
      </c>
      <c r="E40" s="82" t="s">
        <v>108</v>
      </c>
      <c r="F40" s="78"/>
      <c r="G40" s="86"/>
      <c r="H40" s="35"/>
      <c r="I40" s="20">
        <v>5</v>
      </c>
      <c r="J40" s="18">
        <f t="shared" si="0"/>
        <v>5</v>
      </c>
      <c r="K40" s="19" t="str">
        <f t="shared" si="1"/>
        <v/>
      </c>
      <c r="L40" s="3">
        <f t="shared" si="2"/>
        <v>1</v>
      </c>
    </row>
    <row r="41" spans="1:12" s="54" customFormat="1" ht="49" thickBot="1" x14ac:dyDescent="0.25">
      <c r="A41" s="22">
        <f t="shared" si="3"/>
        <v>40</v>
      </c>
      <c r="B41" s="66" t="s">
        <v>5</v>
      </c>
      <c r="C41" s="71" t="s">
        <v>53</v>
      </c>
      <c r="D41" s="78">
        <v>1</v>
      </c>
      <c r="E41" s="81"/>
      <c r="F41" s="78"/>
      <c r="G41" s="85"/>
      <c r="H41" s="49"/>
      <c r="I41" s="50">
        <v>2</v>
      </c>
      <c r="J41" s="51">
        <f t="shared" si="0"/>
        <v>2</v>
      </c>
      <c r="K41" s="52" t="str">
        <f t="shared" si="1"/>
        <v/>
      </c>
      <c r="L41" s="50">
        <f t="shared" si="2"/>
        <v>1</v>
      </c>
    </row>
    <row r="42" spans="1:12" ht="34" thickTop="1" thickBot="1" x14ac:dyDescent="0.25">
      <c r="A42" s="22">
        <f t="shared" si="3"/>
        <v>41</v>
      </c>
      <c r="B42" s="61" t="s">
        <v>20</v>
      </c>
      <c r="C42" s="72" t="s">
        <v>19</v>
      </c>
      <c r="D42" s="78">
        <v>1</v>
      </c>
      <c r="E42" s="79"/>
      <c r="F42" s="78"/>
      <c r="G42" s="83"/>
      <c r="H42" s="33" t="b">
        <v>1</v>
      </c>
      <c r="I42" s="18">
        <v>2</v>
      </c>
      <c r="J42" s="18">
        <f t="shared" si="0"/>
        <v>2</v>
      </c>
      <c r="K42" s="19">
        <f t="shared" si="1"/>
        <v>-5</v>
      </c>
      <c r="L42" s="18">
        <f t="shared" si="2"/>
        <v>1</v>
      </c>
    </row>
    <row r="43" spans="1:12" ht="17" thickBot="1" x14ac:dyDescent="0.25">
      <c r="A43" s="22">
        <f t="shared" si="3"/>
        <v>42</v>
      </c>
      <c r="B43" s="62" t="s">
        <v>20</v>
      </c>
      <c r="C43" s="70" t="s">
        <v>78</v>
      </c>
      <c r="D43" s="78">
        <v>1</v>
      </c>
      <c r="E43" s="80"/>
      <c r="F43" s="78"/>
      <c r="G43" s="84"/>
      <c r="H43" s="34" t="b">
        <v>1</v>
      </c>
      <c r="I43" s="3">
        <v>2</v>
      </c>
      <c r="J43" s="18">
        <f t="shared" si="0"/>
        <v>2</v>
      </c>
      <c r="K43" s="19">
        <f t="shared" si="1"/>
        <v>-5</v>
      </c>
      <c r="L43" s="3">
        <f t="shared" si="2"/>
        <v>1</v>
      </c>
    </row>
    <row r="44" spans="1:12" ht="65" thickBot="1" x14ac:dyDescent="0.25">
      <c r="A44" s="22">
        <f t="shared" si="3"/>
        <v>43</v>
      </c>
      <c r="B44" s="62" t="s">
        <v>20</v>
      </c>
      <c r="C44" s="70" t="s">
        <v>88</v>
      </c>
      <c r="D44" s="78">
        <v>1</v>
      </c>
      <c r="E44" s="80"/>
      <c r="F44" s="78"/>
      <c r="G44" s="84"/>
      <c r="H44" s="34" t="b">
        <v>1</v>
      </c>
      <c r="I44" s="3">
        <v>2</v>
      </c>
      <c r="J44" s="18">
        <f t="shared" si="0"/>
        <v>2</v>
      </c>
      <c r="K44" s="19">
        <f t="shared" si="1"/>
        <v>-5</v>
      </c>
      <c r="L44" s="3">
        <f t="shared" si="2"/>
        <v>1</v>
      </c>
    </row>
    <row r="45" spans="1:12" s="2" customFormat="1" ht="35.25" customHeight="1" thickBot="1" x14ac:dyDescent="0.25">
      <c r="A45" s="22">
        <f t="shared" si="3"/>
        <v>44</v>
      </c>
      <c r="B45" s="62" t="s">
        <v>20</v>
      </c>
      <c r="C45" s="70" t="s">
        <v>77</v>
      </c>
      <c r="D45" s="78">
        <v>1</v>
      </c>
      <c r="E45" s="80"/>
      <c r="F45" s="78"/>
      <c r="G45" s="87"/>
      <c r="H45" s="34" t="b">
        <v>1</v>
      </c>
      <c r="I45" s="3">
        <v>4</v>
      </c>
      <c r="J45" s="18">
        <f t="shared" si="0"/>
        <v>4</v>
      </c>
      <c r="K45" s="19">
        <f t="shared" si="1"/>
        <v>-5</v>
      </c>
      <c r="L45" s="3">
        <f t="shared" si="2"/>
        <v>1</v>
      </c>
    </row>
    <row r="46" spans="1:12" s="2" customFormat="1" ht="51" customHeight="1" thickBot="1" x14ac:dyDescent="0.25">
      <c r="A46" s="22">
        <f t="shared" si="3"/>
        <v>45</v>
      </c>
      <c r="B46" s="62" t="s">
        <v>20</v>
      </c>
      <c r="C46" s="70" t="s">
        <v>76</v>
      </c>
      <c r="D46" s="78">
        <v>1</v>
      </c>
      <c r="E46" s="80" t="s">
        <v>105</v>
      </c>
      <c r="F46" s="78"/>
      <c r="G46" s="87"/>
      <c r="H46" s="34" t="b">
        <v>1</v>
      </c>
      <c r="I46" s="3">
        <v>2</v>
      </c>
      <c r="J46" s="18">
        <f t="shared" si="0"/>
        <v>2</v>
      </c>
      <c r="K46" s="19">
        <f t="shared" si="1"/>
        <v>-5</v>
      </c>
      <c r="L46" s="3">
        <f t="shared" si="2"/>
        <v>1</v>
      </c>
    </row>
    <row r="47" spans="1:12" s="2" customFormat="1" ht="101.25" customHeight="1" thickBot="1" x14ac:dyDescent="0.25">
      <c r="A47" s="22">
        <f t="shared" si="3"/>
        <v>46</v>
      </c>
      <c r="B47" s="62" t="s">
        <v>20</v>
      </c>
      <c r="C47" s="70" t="s">
        <v>69</v>
      </c>
      <c r="D47" s="78">
        <v>1</v>
      </c>
      <c r="E47" s="80" t="s">
        <v>106</v>
      </c>
      <c r="F47" s="78"/>
      <c r="G47" s="87"/>
      <c r="H47" s="34" t="b">
        <v>1</v>
      </c>
      <c r="I47" s="3">
        <v>3</v>
      </c>
      <c r="J47" s="18">
        <f t="shared" si="0"/>
        <v>3</v>
      </c>
      <c r="K47" s="19">
        <f t="shared" si="1"/>
        <v>-5</v>
      </c>
      <c r="L47" s="3">
        <f t="shared" si="2"/>
        <v>1</v>
      </c>
    </row>
    <row r="50" spans="7:7" ht="16" thickBot="1" x14ac:dyDescent="0.25"/>
    <row r="51" spans="7:7" ht="16" thickBot="1" x14ac:dyDescent="0.25">
      <c r="G51" s="77"/>
    </row>
  </sheetData>
  <sheetProtection algorithmName="SHA-512" hashValue="6q8N8bXvQMd3mLfAYX11hWsc1HoKO7cM7BB82LgJUFdk2A27+v+fv6Vvlpb2EdD9F4otYkljQ4Eqfrfbd2x6Gw==" saltValue="Z7ETtdgtk4nx5EePttoSUg==" spinCount="100000" sheet="1" objects="1" scenarios="1"/>
  <conditionalFormatting sqref="C2:C47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7 F2:F47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7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9.1640625" style="12" customWidth="1"/>
    <col min="3" max="3" width="11.6640625" bestFit="1" customWidth="1"/>
    <col min="4" max="4" width="17.6640625" customWidth="1"/>
    <col min="7" max="7" width="16.5" bestFit="1" customWidth="1"/>
    <col min="8" max="8" width="13.6640625" customWidth="1"/>
    <col min="13" max="13" width="13.33203125" bestFit="1" customWidth="1"/>
  </cols>
  <sheetData>
    <row r="1" spans="2:10" x14ac:dyDescent="0.2">
      <c r="B1" s="13" t="s">
        <v>32</v>
      </c>
      <c r="C1" s="14"/>
      <c r="D1" s="14"/>
    </row>
    <row r="2" spans="2:10" x14ac:dyDescent="0.2">
      <c r="B2" s="3"/>
      <c r="C2" s="3">
        <f>Fedőlap!D11</f>
        <v>100</v>
      </c>
      <c r="D2" s="3"/>
    </row>
    <row r="3" spans="2:10" x14ac:dyDescent="0.2">
      <c r="B3" s="10">
        <v>0.49</v>
      </c>
      <c r="C3" s="11">
        <v>-100</v>
      </c>
      <c r="D3" s="3" t="s">
        <v>27</v>
      </c>
      <c r="H3">
        <v>56</v>
      </c>
      <c r="I3">
        <v>29</v>
      </c>
      <c r="J3">
        <f>(H3-I3)*16/56</f>
        <v>7.7142857142857144</v>
      </c>
    </row>
    <row r="4" spans="2:10" x14ac:dyDescent="0.2">
      <c r="B4" s="10">
        <v>0.62</v>
      </c>
      <c r="C4" s="11">
        <f>ROUNDDOWN($C$2*B3+1,0)</f>
        <v>50</v>
      </c>
      <c r="D4" s="3" t="s">
        <v>28</v>
      </c>
      <c r="H4">
        <f>H3/2</f>
        <v>28</v>
      </c>
    </row>
    <row r="5" spans="2:10" x14ac:dyDescent="0.2">
      <c r="B5" s="10">
        <v>0.75</v>
      </c>
      <c r="C5" s="11">
        <f>ROUNDDOWN($C$2*B4+1,0)</f>
        <v>63</v>
      </c>
      <c r="D5" s="3" t="s">
        <v>29</v>
      </c>
    </row>
    <row r="6" spans="2:10" x14ac:dyDescent="0.2">
      <c r="B6" s="10">
        <v>0.88</v>
      </c>
      <c r="C6" s="11">
        <f>ROUNDDOWN($C$2*B5+1,0)</f>
        <v>76</v>
      </c>
      <c r="D6" s="3" t="s">
        <v>30</v>
      </c>
    </row>
    <row r="7" spans="2:10" x14ac:dyDescent="0.2">
      <c r="B7" s="10">
        <v>1</v>
      </c>
      <c r="C7" s="11">
        <f>ROUNDDOWN($C$2*B6+1,0)</f>
        <v>89</v>
      </c>
      <c r="D7" s="3" t="s">
        <v>31</v>
      </c>
    </row>
    <row r="8" spans="2:10" x14ac:dyDescent="0.2">
      <c r="D8" s="7"/>
    </row>
    <row r="9" spans="2:10" x14ac:dyDescent="0.2">
      <c r="D9" t="b">
        <v>1</v>
      </c>
    </row>
    <row r="10" spans="2:10" x14ac:dyDescent="0.2">
      <c r="D10" t="b">
        <v>0</v>
      </c>
    </row>
    <row r="19" spans="2:2" x14ac:dyDescent="0.2">
      <c r="B19" s="2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Fedőlap</vt:lpstr>
      <vt:lpstr>Irányelvek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Nagy Edömér Tamás</cp:lastModifiedBy>
  <dcterms:created xsi:type="dcterms:W3CDTF">2011-03-17T10:44:48Z</dcterms:created>
  <dcterms:modified xsi:type="dcterms:W3CDTF">2026-05-11T13:01:35Z</dcterms:modified>
</cp:coreProperties>
</file>